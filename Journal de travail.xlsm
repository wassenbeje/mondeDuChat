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-Mot_2017\Depot_GIT\mondeDuChat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Planning!$A$1:$D$23</definedName>
    <definedName name="objPlanifWeek">PlanificationWeek!$A$1:$D$14</definedName>
    <definedName name="objRealizedWeek" localSheetId="6">achievementWeek!$A$1:$D$19</definedName>
    <definedName name="objRealizedWeek" localSheetId="7">JNLTRAV!$A$1:$D$39</definedName>
    <definedName name="_xlnm.Print_Area" localSheetId="1">Diagramme!$A$1:$QL$27</definedName>
    <definedName name="_xlnm.Print_Area" localSheetId="0">Donnees!$A$1:$G$54</definedName>
    <definedName name="_xlnm.Print_Area" localSheetId="7">JNLTRAV!$A$1:$D$116</definedName>
    <definedName name="_xlnm.Print_Area" localSheetId="5">Planning!$A$1:$D$79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5" i="157" l="1"/>
  <c r="B96" i="157"/>
  <c r="B91" i="157"/>
  <c r="B72" i="157"/>
  <c r="B38" i="157"/>
  <c r="B78" i="156"/>
  <c r="B64" i="156"/>
  <c r="B50" i="156"/>
  <c r="B36" i="156"/>
  <c r="B22" i="156"/>
  <c r="B23" i="155"/>
  <c r="B21" i="155"/>
  <c r="B19" i="155"/>
  <c r="B17" i="155"/>
  <c r="B15" i="155"/>
  <c r="B13" i="155"/>
  <c r="B11" i="155"/>
  <c r="B9" i="155"/>
  <c r="B7" i="155"/>
  <c r="B5" i="155"/>
  <c r="C26" i="155"/>
  <c r="C25" i="155"/>
  <c r="B18" i="154" l="1"/>
  <c r="B13" i="11"/>
</calcChain>
</file>

<file path=xl/sharedStrings.xml><?xml version="1.0" encoding="utf-8"?>
<sst xmlns="http://schemas.openxmlformats.org/spreadsheetml/2006/main" count="263" uniqueCount="114">
  <si>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</si>
  <si>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</si>
  <si>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</si>
  <si>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</si>
  <si>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</si>
  <si>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</si>
  <si>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</si>
  <si>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</si>
  <si>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</si>
  <si>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</si>
  <si>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</si>
  <si>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</si>
  <si>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</si>
  <si>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</si>
  <si>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</si>
  <si>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</si>
  <si>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</si>
  <si>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</si>
  <si>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</si>
  <si>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</si>
  <si>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</si>
  <si>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</si>
  <si>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</si>
  <si>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</si>
  <si>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Demo-Mot</t>
  </si>
  <si>
    <t>Jérôme Wassenberg</t>
  </si>
  <si>
    <t>CIN2a</t>
  </si>
  <si>
    <t>ETML</t>
  </si>
  <si>
    <t>CSS</t>
  </si>
  <si>
    <t>PHP</t>
  </si>
  <si>
    <t>Recherches web</t>
  </si>
  <si>
    <t>Git</t>
  </si>
  <si>
    <t>Documentation</t>
  </si>
  <si>
    <t>Journal de travail</t>
  </si>
  <si>
    <t>Base de données</t>
  </si>
  <si>
    <t>HTML</t>
  </si>
  <si>
    <t>SQL</t>
  </si>
  <si>
    <t>Divers…</t>
  </si>
  <si>
    <t>S 1</t>
  </si>
  <si>
    <t>S 2</t>
  </si>
  <si>
    <t>S 3</t>
  </si>
  <si>
    <t>S 4</t>
  </si>
  <si>
    <t>S 5</t>
  </si>
  <si>
    <t>Max. 90</t>
  </si>
  <si>
    <t>STOP</t>
  </si>
  <si>
    <t>Camp de sport</t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</si>
  <si>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Introduction du projet par l'enseignant</t>
    </r>
  </si>
  <si>
    <t>Finalisation du cahier des charges</t>
  </si>
  <si>
    <t>Création du planning</t>
  </si>
  <si>
    <t>Création du journal de travail et du planning</t>
  </si>
  <si>
    <r>
      <rPr>
        <b/>
        <sz val="10"/>
        <rFont val="Century Gothic"/>
        <family val="2"/>
        <scheme val="minor"/>
      </rPr>
      <t xml:space="preserve">Mardi </t>
    </r>
    <r>
      <rPr>
        <sz val="10"/>
        <rFont val="Century Gothic"/>
        <family val="2"/>
        <scheme val="minor"/>
      </rPr>
      <t>: Cours de théorie (Economie 2P, Physique 2P et Maths 1P)</t>
    </r>
  </si>
  <si>
    <t>H:\Demo-Mot_2017\Planification.xlsx</t>
  </si>
  <si>
    <t>H:\Demo-Mot_2017\Journal_de_travail.xlsm</t>
  </si>
  <si>
    <t>H:\Demo-Mot_2017\Cahier_des_charges.docx</t>
  </si>
  <si>
    <t>H:\Demo-Mot_2017\Site\</t>
  </si>
  <si>
    <t>Création de la structure de dossier du site dans le disque H:</t>
  </si>
  <si>
    <t>Création des fichiers PHP et CSS necéssaires (index, style, etc…)</t>
  </si>
  <si>
    <t>Programmation du header (naviguation, design, responsive)</t>
  </si>
  <si>
    <t>H:\Demo-Mot_2017\Site\src\php\Includes\header.php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</si>
  <si>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Programmation de la page d'accueil</t>
    </r>
  </si>
  <si>
    <t>Préparation du cahier des charges, établissement des objectifs et des fonctionnalités</t>
  </si>
  <si>
    <t>Création du journal de travail</t>
  </si>
  <si>
    <t>Création du répértoire de travail et de la structure de dossier du site dans le H:</t>
  </si>
  <si>
    <t>Création du dépôt Git et déplacement des fichiers du site à l'intérieure. Indications à PHPStorm et PHPMyAdmin de l'emplacement des fichiers de travail</t>
  </si>
  <si>
    <t>Création des fichiers de base du site (index, CSS commun, etc…)</t>
  </si>
  <si>
    <t>Création de la barre de navigation</t>
  </si>
  <si>
    <t>https://medialoot.com/blog/how-to-create-a-responsive-navigation-menu-using-only-css/</t>
  </si>
  <si>
    <t>Mise à jour de journal de travail</t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</si>
  <si>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: Cours théoriques (Economie, physique, maths)</t>
    </r>
  </si>
  <si>
    <t>Séance de classe</t>
  </si>
  <si>
    <t>Cours théoriques</t>
  </si>
  <si>
    <t>Modifications de la page d'accueil. Le menu déroulant en mode résponsive passait derrière les images (résolu)</t>
  </si>
  <si>
    <t>Modifications de la méthode d'affichage des cases. Avant, les cases étaient centrées avec les Paddings du SECTION. Un centrage par margin en pourcentage est plus simple et optimisé.</t>
  </si>
  <si>
    <t>Résolution d'un problème d'affichage des liens sur les textes des cases. Il ne se plassaient pas au centre de la case.</t>
  </si>
  <si>
    <t>Ajout du lien sur l'image correspondant à la case</t>
  </si>
  <si>
    <t>Mise à jour du journal de travail + PUSH</t>
  </si>
  <si>
    <t>H:\Demo-Mot_2017\Depot_GIT\mondeDuChat</t>
  </si>
  <si>
    <t>H:\Demo-Mot_2017\Depot_GIT\mondeDuChat\cours.mcd</t>
  </si>
  <si>
    <t>H:\Demo-Mot_2017\Depot_GIT\mondeDuChat\Site\src\php\index.php</t>
  </si>
  <si>
    <t>"</t>
  </si>
  <si>
    <t>H:\Demo-Mot_2017\Depot_GIT\mondeDuChat\Site</t>
  </si>
  <si>
    <t>Création du MCD (Ft. Gruaz)</t>
  </si>
  <si>
    <t>Conversion du fichier MCD et insertion dans la base de données MySQL</t>
  </si>
  <si>
    <t>Remplissage de la base avec des données test</t>
  </si>
  <si>
    <t>Réglage et insértion des images dans la abse de données</t>
  </si>
  <si>
    <t>Réglage d'un problème d'affichage des images importées (La taille des images était ttrop grande pour les cases de présentation du site).</t>
  </si>
  <si>
    <t>Création de la page d'affichage des infroamtions sur les élèves et les formateurs.</t>
  </si>
  <si>
    <t>Mise à jour du journal de travail</t>
  </si>
  <si>
    <t>Création de la page d'ajout d'un membre (élève ou formateur)</t>
  </si>
  <si>
    <t>Ajout des champs corréspondant à la base de données</t>
  </si>
  <si>
    <t>Codage des fonctionnalités de recherches d'informations dans la base de données (ex : nom, prénom, etc…)</t>
  </si>
  <si>
    <r>
      <rPr>
        <b/>
        <sz val="10"/>
        <rFont val="Century Gothic"/>
        <family val="2"/>
        <scheme val="minor"/>
      </rPr>
      <t>Lundi :</t>
    </r>
    <r>
      <rPr>
        <sz val="10"/>
        <rFont val="Century Gothic"/>
        <family val="2"/>
        <scheme val="minor"/>
      </rPr>
      <t xml:space="preserve"> Congé</t>
    </r>
  </si>
  <si>
    <t>Test des fonctionnalités</t>
  </si>
  <si>
    <r>
      <rPr>
        <b/>
        <sz val="10"/>
        <rFont val="Century Gothic"/>
        <family val="2"/>
        <scheme val="minor"/>
      </rPr>
      <t>Jeudi</t>
    </r>
    <r>
      <rPr>
        <sz val="10"/>
        <rFont val="Century Gothic"/>
        <family val="2"/>
        <scheme val="minor"/>
      </rPr>
      <t xml:space="preserve"> (0P): Cours de théorie (LACO/SOCI 4P, Anglasi 1P, Pause 2P, Gym 2P)</t>
    </r>
  </si>
  <si>
    <r>
      <rPr>
        <b/>
        <sz val="10"/>
        <rFont val="Century Gothic"/>
        <family val="2"/>
        <scheme val="minor"/>
      </rPr>
      <t>Vendredi</t>
    </r>
    <r>
      <rPr>
        <sz val="10"/>
        <rFont val="Century Gothic"/>
        <family val="2"/>
        <scheme val="minor"/>
      </rPr>
      <t xml:space="preserve"> (27P): Numérisation d'images d'élèves pour la base de données (Caroline Gafner &amp; Vanessa Morel)</t>
    </r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</si>
  <si>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(24P): Finalisation du fichier MCD</t>
    </r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</si>
  <si>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(12P): Cours théoriques (Economie, physique, maths)</t>
    </r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</si>
  <si>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(24P): Explications du déroulement du demo-mot avec les enseignants</t>
    </r>
  </si>
  <si>
    <t>Insértion des champs du formulaire d'inscription des élèves</t>
  </si>
  <si>
    <t>Insértion des champs du formulaire d'inscription des formateurs (2 champs en +)</t>
  </si>
  <si>
    <t>Codage PHP pour accèder au bon formulaire selon la requête envoyée (bouton élève ou formateur utilisé)</t>
  </si>
  <si>
    <t>Codage PHP pour accèder au bon formulaire selon la requête envoyée (bouton élève ou formateur utilisé) [FIN]</t>
  </si>
  <si>
    <t>Modifications du responsive design du site (ajout de classes &amp; ID pour éviter les modifications des champs globaux (INPUT, DIV, etc…))</t>
  </si>
  <si>
    <t>Résolution d'un problème d'affichage des données des formateurs sur la page détails. L'ID à été oublié dans le lien de redirection vers la page de détails lorsqu'on appuie sur l'image ou le nom du formateur.</t>
  </si>
  <si>
    <t>H:\Demo-Mot_2017\Depot_GIT\mondeDuChat\Journal de travail.xlsm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</si>
  <si>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(27P): Création de la page de visualisation des cours</t>
    </r>
  </si>
  <si>
    <t>Modification de l'affichage des cases des cours (agrandissements et changement des dimmensions de l'image) + ajout d'un text indiquant le type de cours (public ou professionnel)</t>
  </si>
  <si>
    <t>Création du formulaire d'ajout d'un cours (récupération du formulaire d'ajout d'un élève)
[Problèmes d'affichage des boutons, ils ne se plassaient pas en bas masi sur la droite du formulaire]</t>
  </si>
  <si>
    <t>Création de la page de visualisation des informations sur un cours</t>
  </si>
  <si>
    <t>Départ en avance (absence programmée)</t>
  </si>
  <si>
    <r>
      <rPr>
        <b/>
        <sz val="10"/>
        <rFont val="Century Gothic"/>
        <family val="2"/>
        <scheme val="minor"/>
      </rPr>
      <t>Jeudi</t>
    </r>
    <r>
      <rPr>
        <sz val="10"/>
        <rFont val="Century Gothic"/>
        <family val="2"/>
        <scheme val="minor"/>
      </rPr>
      <t xml:space="preserve"> : Cours théorique (LACO/SOCI 4P, anglais 1P, Gym 2P)</t>
    </r>
  </si>
  <si>
    <r>
      <rPr>
        <b/>
        <sz val="10"/>
        <rFont val="Century Gothic"/>
        <family val="2"/>
        <scheme val="minor"/>
      </rPr>
      <t>Vendredi</t>
    </r>
    <r>
      <rPr>
        <sz val="10"/>
        <rFont val="Century Gothic"/>
        <family val="2"/>
        <scheme val="minor"/>
      </rPr>
      <t xml:space="preserve"> :</t>
    </r>
  </si>
  <si>
    <t>Design de la page d'ajout d'un cours (difficulté à positionner les champs)</t>
  </si>
  <si>
    <t>Optimisation du code pour gagner de l'espace (suppréssion de code redondant)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</si>
</sst>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edialoot.com/blog/how-to-create-a-responsive-navigation-menu-using-only-css/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1" sqref="C3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9" t="s">
        <v>19</v>
      </c>
      <c r="C19" s="11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7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34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70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QK2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453" ht="13.5" thickBot="1" x14ac:dyDescent="0.25">
      <c r="B1" s="84"/>
      <c r="C1" s="84"/>
    </row>
    <row r="2" spans="1:453" ht="42.75" customHeight="1" thickBot="1" x14ac:dyDescent="0.25">
      <c r="A2" s="85"/>
      <c r="B2" s="45" t="s">
        <v>5</v>
      </c>
      <c r="C2" s="29" t="s">
        <v>18</v>
      </c>
      <c r="D2" s="111" t="s">
        <v>38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3"/>
      <c r="CP2" s="111" t="s">
        <v>39</v>
      </c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12"/>
      <c r="ES2" s="112"/>
      <c r="ET2" s="112"/>
      <c r="EU2" s="112"/>
      <c r="EV2" s="112"/>
      <c r="EW2" s="112"/>
      <c r="EX2" s="112"/>
      <c r="EY2" s="112"/>
      <c r="EZ2" s="112"/>
      <c r="FA2" s="112"/>
      <c r="FB2" s="112"/>
      <c r="FC2" s="112"/>
      <c r="FD2" s="112"/>
      <c r="FE2" s="112"/>
      <c r="FF2" s="112"/>
      <c r="FG2" s="112"/>
      <c r="FH2" s="112"/>
      <c r="FI2" s="112"/>
      <c r="FJ2" s="112"/>
      <c r="FK2" s="112"/>
      <c r="FL2" s="112"/>
      <c r="FM2" s="112"/>
      <c r="FN2" s="112"/>
      <c r="FO2" s="112"/>
      <c r="FP2" s="112"/>
      <c r="FQ2" s="112"/>
      <c r="FR2" s="112"/>
      <c r="FS2" s="112"/>
      <c r="FT2" s="112"/>
      <c r="FU2" s="112"/>
      <c r="FV2" s="112"/>
      <c r="FW2" s="112"/>
      <c r="FX2" s="112"/>
      <c r="FY2" s="112"/>
      <c r="FZ2" s="112"/>
      <c r="GA2" s="113"/>
      <c r="GB2" s="111" t="s">
        <v>40</v>
      </c>
      <c r="GC2" s="112"/>
      <c r="GD2" s="112"/>
      <c r="GE2" s="112"/>
      <c r="GF2" s="112"/>
      <c r="GG2" s="112"/>
      <c r="GH2" s="112"/>
      <c r="GI2" s="112"/>
      <c r="GJ2" s="112"/>
      <c r="GK2" s="112"/>
      <c r="GL2" s="112"/>
      <c r="GM2" s="112"/>
      <c r="GN2" s="112"/>
      <c r="GO2" s="112"/>
      <c r="GP2" s="112"/>
      <c r="GQ2" s="112"/>
      <c r="GR2" s="112"/>
      <c r="GS2" s="112"/>
      <c r="GT2" s="112"/>
      <c r="GU2" s="112"/>
      <c r="GV2" s="112"/>
      <c r="GW2" s="112"/>
      <c r="GX2" s="112"/>
      <c r="GY2" s="112"/>
      <c r="GZ2" s="112"/>
      <c r="HA2" s="112"/>
      <c r="HB2" s="112"/>
      <c r="HC2" s="112"/>
      <c r="HD2" s="112"/>
      <c r="HE2" s="112"/>
      <c r="HF2" s="112"/>
      <c r="HG2" s="112"/>
      <c r="HH2" s="112"/>
      <c r="HI2" s="112"/>
      <c r="HJ2" s="112"/>
      <c r="HK2" s="112"/>
      <c r="HL2" s="112"/>
      <c r="HM2" s="112"/>
      <c r="HN2" s="112"/>
      <c r="HO2" s="112"/>
      <c r="HP2" s="112"/>
      <c r="HQ2" s="112"/>
      <c r="HR2" s="112"/>
      <c r="HS2" s="112"/>
      <c r="HT2" s="112"/>
      <c r="HU2" s="112"/>
      <c r="HV2" s="112"/>
      <c r="HW2" s="112"/>
      <c r="HX2" s="112"/>
      <c r="HY2" s="112"/>
      <c r="HZ2" s="112"/>
      <c r="IA2" s="112"/>
      <c r="IB2" s="112"/>
      <c r="IC2" s="112"/>
      <c r="ID2" s="112"/>
      <c r="IE2" s="112"/>
      <c r="IF2" s="112"/>
      <c r="IG2" s="112"/>
      <c r="IH2" s="112"/>
      <c r="II2" s="112"/>
      <c r="IJ2" s="112"/>
      <c r="IK2" s="112"/>
      <c r="IL2" s="112"/>
      <c r="IM2" s="112"/>
      <c r="IN2" s="112"/>
      <c r="IO2" s="112"/>
      <c r="IP2" s="112"/>
      <c r="IQ2" s="112"/>
      <c r="IR2" s="112"/>
      <c r="IS2" s="112"/>
      <c r="IT2" s="112"/>
      <c r="IU2" s="112"/>
      <c r="IV2" s="112"/>
      <c r="IW2" s="112"/>
      <c r="IX2" s="112"/>
      <c r="IY2" s="112"/>
      <c r="IZ2" s="112"/>
      <c r="JA2" s="112"/>
      <c r="JB2" s="112"/>
      <c r="JC2" s="112"/>
      <c r="JD2" s="112"/>
      <c r="JE2" s="112"/>
      <c r="JF2" s="112"/>
      <c r="JG2" s="112"/>
      <c r="JH2" s="112"/>
      <c r="JI2" s="112"/>
      <c r="JJ2" s="112"/>
      <c r="JK2" s="112"/>
      <c r="JL2" s="112"/>
      <c r="JM2" s="113"/>
      <c r="JN2" s="111" t="s">
        <v>41</v>
      </c>
      <c r="JO2" s="112"/>
      <c r="JP2" s="112"/>
      <c r="JQ2" s="112"/>
      <c r="JR2" s="112"/>
      <c r="JS2" s="112"/>
      <c r="JT2" s="112"/>
      <c r="JU2" s="112"/>
      <c r="JV2" s="112"/>
      <c r="JW2" s="112"/>
      <c r="JX2" s="112"/>
      <c r="JY2" s="112"/>
      <c r="JZ2" s="112"/>
      <c r="KA2" s="112"/>
      <c r="KB2" s="112"/>
      <c r="KC2" s="112"/>
      <c r="KD2" s="112"/>
      <c r="KE2" s="112"/>
      <c r="KF2" s="112"/>
      <c r="KG2" s="112"/>
      <c r="KH2" s="112"/>
      <c r="KI2" s="112"/>
      <c r="KJ2" s="112"/>
      <c r="KK2" s="112"/>
      <c r="KL2" s="112"/>
      <c r="KM2" s="112"/>
      <c r="KN2" s="112"/>
      <c r="KO2" s="112"/>
      <c r="KP2" s="112"/>
      <c r="KQ2" s="112"/>
      <c r="KR2" s="112"/>
      <c r="KS2" s="112"/>
      <c r="KT2" s="112"/>
      <c r="KU2" s="112"/>
      <c r="KV2" s="112"/>
      <c r="KW2" s="112"/>
      <c r="KX2" s="112"/>
      <c r="KY2" s="112"/>
      <c r="KZ2" s="112"/>
      <c r="LA2" s="112"/>
      <c r="LB2" s="112"/>
      <c r="LC2" s="112"/>
      <c r="LD2" s="112"/>
      <c r="LE2" s="112"/>
      <c r="LF2" s="112"/>
      <c r="LG2" s="112"/>
      <c r="LH2" s="112"/>
      <c r="LI2" s="112"/>
      <c r="LJ2" s="112"/>
      <c r="LK2" s="112"/>
      <c r="LL2" s="112"/>
      <c r="LM2" s="112"/>
      <c r="LN2" s="112"/>
      <c r="LO2" s="112"/>
      <c r="LP2" s="112"/>
      <c r="LQ2" s="112"/>
      <c r="LR2" s="112"/>
      <c r="LS2" s="112"/>
      <c r="LT2" s="112"/>
      <c r="LU2" s="112"/>
      <c r="LV2" s="112"/>
      <c r="LW2" s="112"/>
      <c r="LX2" s="112"/>
      <c r="LY2" s="112"/>
      <c r="LZ2" s="112"/>
      <c r="MA2" s="112"/>
      <c r="MB2" s="112"/>
      <c r="MC2" s="112"/>
      <c r="MD2" s="112"/>
      <c r="ME2" s="112"/>
      <c r="MF2" s="112"/>
      <c r="MG2" s="112"/>
      <c r="MH2" s="112"/>
      <c r="MI2" s="112"/>
      <c r="MJ2" s="112"/>
      <c r="MK2" s="112"/>
      <c r="ML2" s="112"/>
      <c r="MM2" s="112"/>
      <c r="MN2" s="112"/>
      <c r="MO2" s="112"/>
      <c r="MP2" s="112"/>
      <c r="MQ2" s="112"/>
      <c r="MR2" s="112"/>
      <c r="MS2" s="112"/>
      <c r="MT2" s="112"/>
      <c r="MU2" s="112"/>
      <c r="MV2" s="112"/>
      <c r="MW2" s="112"/>
      <c r="MX2" s="112"/>
      <c r="MY2" s="113"/>
      <c r="MZ2" s="111" t="s">
        <v>42</v>
      </c>
      <c r="NA2" s="112"/>
      <c r="NB2" s="112"/>
      <c r="NC2" s="112"/>
      <c r="ND2" s="112"/>
      <c r="NE2" s="112"/>
      <c r="NF2" s="112"/>
      <c r="NG2" s="112"/>
      <c r="NH2" s="112"/>
      <c r="NI2" s="112"/>
      <c r="NJ2" s="112"/>
      <c r="NK2" s="112"/>
      <c r="NL2" s="112"/>
      <c r="NM2" s="112"/>
      <c r="NN2" s="112"/>
      <c r="NO2" s="112"/>
      <c r="NP2" s="112"/>
      <c r="NQ2" s="112"/>
      <c r="NR2" s="112"/>
      <c r="NS2" s="112"/>
      <c r="NT2" s="112"/>
      <c r="NU2" s="112"/>
      <c r="NV2" s="112"/>
      <c r="NW2" s="112"/>
      <c r="NX2" s="112"/>
      <c r="NY2" s="112"/>
      <c r="NZ2" s="112"/>
      <c r="OA2" s="112"/>
      <c r="OB2" s="112"/>
      <c r="OC2" s="112"/>
      <c r="OD2" s="112"/>
      <c r="OE2" s="112"/>
      <c r="OF2" s="112"/>
      <c r="OG2" s="112"/>
      <c r="OH2" s="112"/>
      <c r="OI2" s="112"/>
      <c r="OJ2" s="112"/>
      <c r="OK2" s="112"/>
      <c r="OL2" s="112"/>
      <c r="OM2" s="112"/>
      <c r="ON2" s="112"/>
      <c r="OO2" s="112"/>
      <c r="OP2" s="112"/>
      <c r="OQ2" s="112"/>
      <c r="OR2" s="112"/>
      <c r="OS2" s="112"/>
      <c r="OT2" s="112"/>
      <c r="OU2" s="112"/>
      <c r="OV2" s="112"/>
      <c r="OW2" s="112"/>
      <c r="OX2" s="112"/>
      <c r="OY2" s="112"/>
      <c r="OZ2" s="112"/>
      <c r="PA2" s="112"/>
      <c r="PB2" s="112"/>
      <c r="PC2" s="112"/>
      <c r="PD2" s="112"/>
      <c r="PE2" s="112"/>
      <c r="PF2" s="112"/>
      <c r="PG2" s="112"/>
      <c r="PH2" s="112"/>
      <c r="PI2" s="112"/>
      <c r="PJ2" s="112"/>
      <c r="PK2" s="112"/>
      <c r="PL2" s="112"/>
      <c r="PM2" s="112"/>
      <c r="PN2" s="112"/>
      <c r="PO2" s="112"/>
      <c r="PP2" s="112"/>
      <c r="PQ2" s="112"/>
      <c r="PR2" s="112"/>
      <c r="PS2" s="112"/>
      <c r="PT2" s="112"/>
      <c r="PU2" s="112"/>
      <c r="PV2" s="112"/>
      <c r="PW2" s="112"/>
      <c r="PX2" s="112"/>
      <c r="PY2" s="112"/>
      <c r="PZ2" s="112"/>
      <c r="QA2" s="112"/>
      <c r="QB2" s="112"/>
      <c r="QC2" s="112"/>
      <c r="QD2" s="112"/>
      <c r="QE2" s="112"/>
      <c r="QF2" s="112"/>
      <c r="QG2" s="112"/>
      <c r="QH2" s="112"/>
      <c r="QI2" s="112"/>
      <c r="QJ2" s="112"/>
      <c r="QK2" s="113"/>
    </row>
    <row r="3" spans="1:453" ht="19.5" customHeight="1" x14ac:dyDescent="0.2">
      <c r="A3" s="85"/>
      <c r="B3" s="116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</row>
    <row r="4" spans="1:453" ht="19.5" customHeight="1" thickBot="1" x14ac:dyDescent="0.25">
      <c r="A4" s="85"/>
      <c r="B4" s="117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</row>
    <row r="5" spans="1:453" ht="19.5" customHeight="1" x14ac:dyDescent="0.2">
      <c r="B5" s="118" t="str">
        <f>Donnees!$C$21</f>
        <v>PHP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</row>
    <row r="6" spans="1:453" ht="19.5" customHeight="1" thickBot="1" x14ac:dyDescent="0.25">
      <c r="B6" s="115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</row>
    <row r="7" spans="1:453" ht="19.5" customHeight="1" x14ac:dyDescent="0.2">
      <c r="B7" s="114" t="str">
        <f>Donnees!$C$22</f>
        <v>CSS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</row>
    <row r="8" spans="1:453" ht="19.5" customHeight="1" thickBot="1" x14ac:dyDescent="0.25">
      <c r="B8" s="115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</row>
    <row r="9" spans="1:453" ht="19.5" customHeight="1" x14ac:dyDescent="0.2">
      <c r="B9" s="114" t="str">
        <f>Donnees!$C$23</f>
        <v>HTML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</row>
    <row r="10" spans="1:453" ht="19.5" customHeight="1" thickBot="1" x14ac:dyDescent="0.25">
      <c r="B10" s="115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</row>
    <row r="11" spans="1:453" ht="19.5" customHeight="1" x14ac:dyDescent="0.2">
      <c r="B11" s="114" t="str">
        <f>Donnees!$C$24</f>
        <v>SQL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</row>
    <row r="12" spans="1:453" ht="19.5" customHeight="1" thickBot="1" x14ac:dyDescent="0.25">
      <c r="B12" s="115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</row>
    <row r="13" spans="1:453" ht="19.5" customHeight="1" x14ac:dyDescent="0.2">
      <c r="B13" s="114" t="str">
        <f>Donnees!$C$25</f>
        <v>Base de données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86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</row>
    <row r="14" spans="1:453" ht="19.5" customHeight="1" thickBot="1" x14ac:dyDescent="0.25">
      <c r="B14" s="115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5"/>
      <c r="CP14" s="91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</row>
    <row r="15" spans="1:453" ht="19.5" customHeight="1" x14ac:dyDescent="0.2">
      <c r="B15" s="114" t="str">
        <f>Donnees!$C$26</f>
        <v>Recherches web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</row>
    <row r="16" spans="1:453" ht="19.5" customHeight="1" thickBot="1" x14ac:dyDescent="0.25">
      <c r="A16" s="98"/>
      <c r="B16" s="115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</row>
    <row r="17" spans="2:453" ht="19.5" customHeight="1" x14ac:dyDescent="0.2">
      <c r="B17" s="114" t="str">
        <f>Donnees!$C$27</f>
        <v>Git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90"/>
      <c r="GB17" s="86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</row>
    <row r="18" spans="2:453" ht="19.5" customHeight="1" thickBot="1" x14ac:dyDescent="0.25">
      <c r="B18" s="115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</row>
    <row r="19" spans="2:453" ht="19.5" customHeight="1" x14ac:dyDescent="0.2">
      <c r="B19" s="114" t="str">
        <f>Donnees!$C$28</f>
        <v>Divers…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86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90"/>
      <c r="MZ19" s="86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</row>
    <row r="20" spans="2:453" ht="19.5" customHeight="1" thickBot="1" x14ac:dyDescent="0.25">
      <c r="B20" s="115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5"/>
      <c r="MZ20" s="91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</row>
    <row r="21" spans="2:453" ht="19.5" customHeight="1" x14ac:dyDescent="0.2">
      <c r="B21" s="114" t="str">
        <f>Donnees!$C$29</f>
        <v>Documentation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86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90"/>
    </row>
    <row r="22" spans="2:453" ht="19.5" customHeight="1" thickBot="1" x14ac:dyDescent="0.25">
      <c r="B22" s="115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91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5"/>
    </row>
    <row r="23" spans="2:453" ht="19.5" customHeight="1" x14ac:dyDescent="0.2">
      <c r="B23" s="114" t="str">
        <f>Donnees!$C$30</f>
        <v>Journal de travail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</row>
    <row r="24" spans="2:453" ht="19.5" customHeight="1" x14ac:dyDescent="0.2">
      <c r="B24" s="115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</row>
    <row r="25" spans="2:453" ht="19.5" customHeight="1" x14ac:dyDescent="0.2">
      <c r="B25" s="47" t="s">
        <v>16</v>
      </c>
      <c r="C25" s="49">
        <f>SUM($C$3,$C$5,$C$7,$C$9,$C$11,$C$13,$C$15,$C$17,$C$19,$C$21,$C$23)</f>
        <v>0</v>
      </c>
      <c r="D25" s="99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1"/>
      <c r="CP25" s="99"/>
      <c r="CQ25" s="100"/>
      <c r="CR25" s="100"/>
      <c r="CS25" s="100"/>
      <c r="CT25" s="100"/>
      <c r="CU25" s="100"/>
      <c r="CV25" s="100"/>
      <c r="CW25" s="100"/>
      <c r="CX25" s="100"/>
      <c r="CY25" s="100"/>
      <c r="CZ25" s="100"/>
      <c r="DA25" s="100"/>
      <c r="DB25" s="100"/>
      <c r="DC25" s="100"/>
      <c r="DD25" s="100"/>
      <c r="DE25" s="100"/>
      <c r="DF25" s="100"/>
      <c r="DG25" s="100"/>
      <c r="DH25" s="100"/>
      <c r="DI25" s="100"/>
      <c r="DJ25" s="100"/>
      <c r="DK25" s="100"/>
      <c r="DL25" s="100"/>
      <c r="DM25" s="100"/>
      <c r="DN25" s="100"/>
      <c r="DO25" s="100"/>
      <c r="DP25" s="100"/>
      <c r="DQ25" s="100"/>
      <c r="DR25" s="100"/>
      <c r="DS25" s="100"/>
      <c r="DT25" s="100"/>
      <c r="DU25" s="100"/>
      <c r="DV25" s="100"/>
      <c r="DW25" s="100"/>
      <c r="DX25" s="100"/>
      <c r="DY25" s="100"/>
      <c r="DZ25" s="100"/>
      <c r="EA25" s="100"/>
      <c r="EB25" s="100"/>
      <c r="EC25" s="100"/>
      <c r="ED25" s="100"/>
      <c r="EE25" s="100"/>
      <c r="EF25" s="100"/>
      <c r="EG25" s="100"/>
      <c r="EH25" s="100"/>
      <c r="EI25" s="100"/>
      <c r="EJ25" s="100"/>
      <c r="EK25" s="100"/>
      <c r="EL25" s="100"/>
      <c r="EM25" s="100"/>
      <c r="EN25" s="100"/>
      <c r="EO25" s="100"/>
      <c r="EP25" s="100"/>
      <c r="EQ25" s="100"/>
      <c r="ER25" s="100"/>
      <c r="ES25" s="100"/>
      <c r="ET25" s="100"/>
      <c r="EU25" s="100"/>
      <c r="EV25" s="100"/>
      <c r="EW25" s="100"/>
      <c r="EX25" s="100"/>
      <c r="EY25" s="100"/>
      <c r="EZ25" s="100"/>
      <c r="FA25" s="100"/>
      <c r="FB25" s="100"/>
      <c r="FC25" s="100"/>
      <c r="FD25" s="100"/>
      <c r="FE25" s="100"/>
      <c r="FF25" s="100"/>
      <c r="FG25" s="100"/>
      <c r="FH25" s="100"/>
      <c r="FI25" s="100"/>
      <c r="FJ25" s="100"/>
      <c r="FK25" s="100"/>
      <c r="FL25" s="100"/>
      <c r="FM25" s="100"/>
      <c r="FN25" s="100"/>
      <c r="FO25" s="100"/>
      <c r="FP25" s="100"/>
      <c r="FQ25" s="100"/>
      <c r="FR25" s="100"/>
      <c r="FS25" s="100"/>
      <c r="FT25" s="100"/>
      <c r="FU25" s="100"/>
      <c r="FV25" s="100"/>
      <c r="FW25" s="100"/>
      <c r="FX25" s="100"/>
      <c r="FY25" s="100"/>
      <c r="FZ25" s="100"/>
      <c r="GA25" s="101"/>
      <c r="GB25" s="99"/>
      <c r="GC25" s="100"/>
      <c r="GD25" s="100"/>
      <c r="GE25" s="100"/>
      <c r="GF25" s="100"/>
      <c r="GG25" s="100"/>
      <c r="GH25" s="100"/>
      <c r="GI25" s="100"/>
      <c r="GJ25" s="100"/>
      <c r="GK25" s="100"/>
      <c r="GL25" s="100"/>
      <c r="GM25" s="100"/>
      <c r="GN25" s="100"/>
      <c r="GO25" s="100"/>
      <c r="GP25" s="100"/>
      <c r="GQ25" s="100"/>
      <c r="GR25" s="100"/>
      <c r="GS25" s="100"/>
      <c r="GT25" s="100"/>
      <c r="GU25" s="100"/>
      <c r="GV25" s="100"/>
      <c r="GW25" s="100"/>
      <c r="GX25" s="100"/>
      <c r="GY25" s="100"/>
      <c r="GZ25" s="100"/>
      <c r="HA25" s="100"/>
      <c r="HB25" s="100"/>
      <c r="HC25" s="100"/>
      <c r="HD25" s="100"/>
      <c r="HE25" s="100"/>
      <c r="HF25" s="100"/>
      <c r="HG25" s="100"/>
      <c r="HH25" s="100"/>
      <c r="HI25" s="100"/>
      <c r="HJ25" s="100"/>
      <c r="HK25" s="100"/>
      <c r="HL25" s="100"/>
      <c r="HM25" s="100"/>
      <c r="HN25" s="100"/>
      <c r="HO25" s="100"/>
      <c r="HP25" s="100"/>
      <c r="HQ25" s="100"/>
      <c r="HR25" s="100"/>
      <c r="HS25" s="100"/>
      <c r="HT25" s="100"/>
      <c r="HU25" s="100"/>
      <c r="HV25" s="100"/>
      <c r="HW25" s="100"/>
      <c r="HX25" s="100"/>
      <c r="HY25" s="100"/>
      <c r="HZ25" s="100"/>
      <c r="IA25" s="100"/>
      <c r="IB25" s="100"/>
      <c r="IC25" s="100"/>
      <c r="ID25" s="100"/>
      <c r="IE25" s="100"/>
      <c r="IF25" s="100"/>
      <c r="IG25" s="100"/>
      <c r="IH25" s="100"/>
      <c r="II25" s="100"/>
      <c r="IJ25" s="100"/>
      <c r="IK25" s="100"/>
      <c r="IL25" s="100"/>
      <c r="IM25" s="100"/>
      <c r="IN25" s="100"/>
      <c r="IO25" s="100"/>
      <c r="IP25" s="100"/>
      <c r="IQ25" s="100"/>
      <c r="IR25" s="100"/>
      <c r="IS25" s="100"/>
      <c r="IT25" s="100"/>
      <c r="IU25" s="100"/>
      <c r="IV25" s="100"/>
      <c r="IW25" s="100"/>
      <c r="IX25" s="100"/>
      <c r="IY25" s="100"/>
      <c r="IZ25" s="100"/>
      <c r="JA25" s="100"/>
      <c r="JB25" s="100"/>
      <c r="JC25" s="100"/>
      <c r="JD25" s="100"/>
      <c r="JE25" s="100"/>
      <c r="JF25" s="100"/>
      <c r="JG25" s="100"/>
      <c r="JH25" s="100"/>
      <c r="JI25" s="100"/>
      <c r="JJ25" s="100"/>
      <c r="JK25" s="100"/>
      <c r="JL25" s="100"/>
      <c r="JM25" s="101"/>
      <c r="JN25" s="99"/>
      <c r="JO25" s="100"/>
      <c r="JP25" s="100"/>
      <c r="JQ25" s="100"/>
      <c r="JR25" s="100"/>
      <c r="JS25" s="100"/>
      <c r="JT25" s="100"/>
      <c r="JU25" s="100"/>
      <c r="JV25" s="100"/>
      <c r="JW25" s="100"/>
      <c r="JX25" s="100"/>
      <c r="JY25" s="100"/>
      <c r="JZ25" s="100"/>
      <c r="KA25" s="100"/>
      <c r="KB25" s="100"/>
      <c r="KC25" s="100"/>
      <c r="KD25" s="100"/>
      <c r="KE25" s="100"/>
      <c r="KF25" s="100"/>
      <c r="KG25" s="100"/>
      <c r="KH25" s="100"/>
      <c r="KI25" s="100"/>
      <c r="KJ25" s="100"/>
      <c r="KK25" s="100"/>
      <c r="KL25" s="100"/>
      <c r="KM25" s="100"/>
      <c r="KN25" s="100"/>
      <c r="KO25" s="100"/>
      <c r="KP25" s="100"/>
      <c r="KQ25" s="100"/>
      <c r="KR25" s="100"/>
      <c r="KS25" s="100"/>
      <c r="KT25" s="100"/>
      <c r="KU25" s="100"/>
      <c r="KV25" s="100"/>
      <c r="KW25" s="100"/>
      <c r="KX25" s="100"/>
      <c r="KY25" s="100"/>
      <c r="KZ25" s="100"/>
      <c r="LA25" s="100"/>
      <c r="LB25" s="100"/>
      <c r="LC25" s="100"/>
      <c r="LD25" s="100"/>
      <c r="LE25" s="100"/>
      <c r="LF25" s="100"/>
      <c r="LG25" s="100"/>
      <c r="LH25" s="100"/>
      <c r="LI25" s="100"/>
      <c r="LJ25" s="100"/>
      <c r="LK25" s="100"/>
      <c r="LL25" s="100"/>
      <c r="LM25" s="100"/>
      <c r="LN25" s="100"/>
      <c r="LO25" s="100"/>
      <c r="LP25" s="100"/>
      <c r="LQ25" s="100"/>
      <c r="LR25" s="100"/>
      <c r="LS25" s="100"/>
      <c r="LT25" s="100"/>
      <c r="LU25" s="100"/>
      <c r="LV25" s="100"/>
      <c r="LW25" s="100"/>
      <c r="LX25" s="100"/>
      <c r="LY25" s="100"/>
      <c r="LZ25" s="100"/>
      <c r="MA25" s="100"/>
      <c r="MB25" s="100"/>
      <c r="MC25" s="100"/>
      <c r="MD25" s="100"/>
      <c r="ME25" s="100"/>
      <c r="MF25" s="100"/>
      <c r="MG25" s="100"/>
      <c r="MH25" s="100"/>
      <c r="MI25" s="100"/>
      <c r="MJ25" s="100"/>
      <c r="MK25" s="100"/>
      <c r="ML25" s="100"/>
      <c r="MM25" s="100"/>
      <c r="MN25" s="100"/>
      <c r="MO25" s="100"/>
      <c r="MP25" s="100"/>
      <c r="MQ25" s="100"/>
      <c r="MR25" s="100"/>
      <c r="MS25" s="100"/>
      <c r="MT25" s="100"/>
      <c r="MU25" s="100"/>
      <c r="MV25" s="100"/>
      <c r="MW25" s="100"/>
      <c r="MX25" s="100"/>
      <c r="MY25" s="101"/>
      <c r="MZ25" s="99"/>
      <c r="NA25" s="100"/>
      <c r="NB25" s="100"/>
      <c r="NC25" s="100"/>
      <c r="ND25" s="100"/>
      <c r="NE25" s="100"/>
      <c r="NF25" s="100"/>
      <c r="NG25" s="100"/>
      <c r="NH25" s="100"/>
      <c r="NI25" s="100"/>
      <c r="NJ25" s="100"/>
      <c r="NK25" s="100"/>
      <c r="NL25" s="100"/>
      <c r="NM25" s="100"/>
      <c r="NN25" s="100"/>
      <c r="NO25" s="100"/>
      <c r="NP25" s="100"/>
      <c r="NQ25" s="100"/>
      <c r="NR25" s="100"/>
      <c r="NS25" s="100"/>
      <c r="NT25" s="100"/>
      <c r="NU25" s="100"/>
      <c r="NV25" s="100"/>
      <c r="NW25" s="100"/>
      <c r="NX25" s="100"/>
      <c r="NY25" s="100"/>
      <c r="NZ25" s="100"/>
      <c r="OA25" s="100"/>
      <c r="OB25" s="100"/>
      <c r="OC25" s="100"/>
      <c r="OD25" s="100"/>
      <c r="OE25" s="100"/>
      <c r="OF25" s="100"/>
      <c r="OG25" s="100"/>
      <c r="OH25" s="100"/>
      <c r="OI25" s="100"/>
      <c r="OJ25" s="100"/>
      <c r="OK25" s="100"/>
      <c r="OL25" s="100"/>
      <c r="OM25" s="100"/>
      <c r="ON25" s="100"/>
      <c r="OO25" s="100"/>
      <c r="OP25" s="100"/>
      <c r="OQ25" s="100"/>
      <c r="OR25" s="100"/>
      <c r="OS25" s="100"/>
      <c r="OT25" s="100"/>
      <c r="OU25" s="100"/>
      <c r="OV25" s="100"/>
      <c r="OW25" s="100"/>
      <c r="OX25" s="100"/>
      <c r="OY25" s="100"/>
      <c r="OZ25" s="100"/>
      <c r="PA25" s="100"/>
      <c r="PB25" s="100"/>
      <c r="PC25" s="100"/>
      <c r="PD25" s="100"/>
      <c r="PE25" s="100"/>
      <c r="PF25" s="100"/>
      <c r="PG25" s="100"/>
      <c r="PH25" s="100"/>
      <c r="PI25" s="100"/>
      <c r="PJ25" s="100"/>
      <c r="PK25" s="100"/>
      <c r="PL25" s="100"/>
      <c r="PM25" s="100"/>
      <c r="PN25" s="100"/>
      <c r="PO25" s="100"/>
      <c r="PP25" s="100"/>
      <c r="PQ25" s="100"/>
      <c r="PR25" s="100"/>
      <c r="PS25" s="100"/>
      <c r="PT25" s="100"/>
      <c r="PU25" s="100"/>
      <c r="PV25" s="100"/>
      <c r="PW25" s="100"/>
      <c r="PX25" s="100"/>
      <c r="PY25" s="100"/>
      <c r="PZ25" s="100"/>
      <c r="QA25" s="100"/>
      <c r="QB25" s="100"/>
      <c r="QC25" s="100"/>
      <c r="QD25" s="100"/>
      <c r="QE25" s="100"/>
      <c r="QF25" s="100"/>
      <c r="QG25" s="100"/>
      <c r="QH25" s="100"/>
      <c r="QI25" s="100"/>
      <c r="QJ25" s="100"/>
      <c r="QK25" s="101"/>
    </row>
    <row r="26" spans="2:45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2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4"/>
      <c r="CP26" s="102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4"/>
      <c r="GB26" s="102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4"/>
      <c r="JN26" s="102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4"/>
      <c r="MZ26" s="102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  <c r="PD26" s="103"/>
      <c r="PE26" s="103"/>
      <c r="PF26" s="103"/>
      <c r="PG26" s="103"/>
      <c r="PH26" s="103"/>
      <c r="PI26" s="103"/>
      <c r="PJ26" s="103"/>
      <c r="PK26" s="103"/>
      <c r="PL26" s="103"/>
      <c r="PM26" s="103"/>
      <c r="PN26" s="103"/>
      <c r="PO26" s="103"/>
      <c r="PP26" s="103"/>
      <c r="PQ26" s="103"/>
      <c r="PR26" s="103"/>
      <c r="PS26" s="103"/>
      <c r="PT26" s="103"/>
      <c r="PU26" s="103"/>
      <c r="PV26" s="103"/>
      <c r="PW26" s="103"/>
      <c r="PX26" s="103"/>
      <c r="PY26" s="103"/>
      <c r="PZ26" s="103"/>
      <c r="QA26" s="103"/>
      <c r="QB26" s="103"/>
      <c r="QC26" s="103"/>
      <c r="QD26" s="103"/>
      <c r="QE26" s="103"/>
      <c r="QF26" s="103"/>
      <c r="QG26" s="103"/>
      <c r="QH26" s="103"/>
      <c r="QI26" s="103"/>
      <c r="QJ26" s="103"/>
      <c r="QK26" s="104"/>
    </row>
  </sheetData>
  <sheetProtection sheet="1" objects="1" scenarios="1" insertRows="0" selectLockedCells="1"/>
  <mergeCells count="16"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  <mergeCell ref="CP2:GA2"/>
    <mergeCell ref="GB2:JM2"/>
    <mergeCell ref="JN2:MY2"/>
    <mergeCell ref="MZ2:QK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6" t="s">
        <v>21</v>
      </c>
      <c r="C3" s="30">
        <v>0</v>
      </c>
    </row>
    <row r="4" spans="1:4" ht="19.5" customHeight="1" x14ac:dyDescent="0.2">
      <c r="A4" s="34"/>
      <c r="B4" s="11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0"/>
  <sheetViews>
    <sheetView view="pageBreakPreview" zoomScale="130" zoomScaleNormal="100" zoomScaleSheetLayoutView="130" workbookViewId="0">
      <selection activeCell="B12" sqref="B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37</v>
      </c>
      <c r="B3" s="8">
        <v>6</v>
      </c>
      <c r="C3" s="13" t="s">
        <v>46</v>
      </c>
      <c r="D3" s="13"/>
    </row>
    <row r="4" spans="1:4" s="81" customFormat="1" ht="13.5" x14ac:dyDescent="0.2">
      <c r="A4" s="5" t="s">
        <v>32</v>
      </c>
      <c r="B4" s="6">
        <v>6</v>
      </c>
      <c r="C4" s="14" t="s">
        <v>47</v>
      </c>
      <c r="D4" s="14" t="s">
        <v>53</v>
      </c>
    </row>
    <row r="5" spans="1:4" s="81" customFormat="1" ht="13.5" x14ac:dyDescent="0.2">
      <c r="A5" s="5"/>
      <c r="B5" s="6">
        <v>3</v>
      </c>
      <c r="C5" s="14" t="s">
        <v>48</v>
      </c>
      <c r="D5" s="14" t="s">
        <v>51</v>
      </c>
    </row>
    <row r="6" spans="1:4" s="81" customFormat="1" ht="13.5" x14ac:dyDescent="0.2">
      <c r="A6" s="5"/>
      <c r="B6" s="6">
        <v>9</v>
      </c>
      <c r="C6" s="14" t="s">
        <v>49</v>
      </c>
      <c r="D6" s="14" t="s">
        <v>52</v>
      </c>
    </row>
    <row r="7" spans="1:4" s="81" customFormat="1" ht="13.5" x14ac:dyDescent="0.2">
      <c r="A7" s="5"/>
      <c r="B7" s="6">
        <v>15</v>
      </c>
      <c r="C7" s="14" t="s">
        <v>50</v>
      </c>
      <c r="D7" s="14"/>
    </row>
    <row r="8" spans="1:4" s="81" customFormat="1" ht="13.5" x14ac:dyDescent="0.2">
      <c r="A8" s="5"/>
      <c r="B8" s="6">
        <v>2</v>
      </c>
      <c r="C8" s="14" t="s">
        <v>55</v>
      </c>
      <c r="D8" s="14" t="s">
        <v>54</v>
      </c>
    </row>
    <row r="9" spans="1:4" s="81" customFormat="1" ht="13.5" x14ac:dyDescent="0.2">
      <c r="A9" s="6"/>
      <c r="B9" s="6">
        <v>3</v>
      </c>
      <c r="C9" s="14" t="s">
        <v>56</v>
      </c>
      <c r="D9" s="14"/>
    </row>
    <row r="10" spans="1:4" s="81" customFormat="1" ht="27" x14ac:dyDescent="0.2">
      <c r="A10" s="6"/>
      <c r="B10" s="6">
        <v>7</v>
      </c>
      <c r="C10" s="14" t="s">
        <v>57</v>
      </c>
      <c r="D10" s="14" t="s">
        <v>58</v>
      </c>
    </row>
    <row r="11" spans="1:4" s="81" customFormat="1" ht="13.5" x14ac:dyDescent="0.2">
      <c r="A11" s="6"/>
      <c r="B11" s="6">
        <v>9</v>
      </c>
      <c r="C11" s="14" t="s">
        <v>59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ht="13.5" x14ac:dyDescent="0.2">
      <c r="A13" s="6"/>
      <c r="B13" s="6"/>
      <c r="C13" s="14"/>
      <c r="D13" s="14"/>
    </row>
    <row r="14" spans="1:4" ht="13.5" x14ac:dyDescent="0.2">
      <c r="A14" s="6"/>
      <c r="B14" s="6"/>
      <c r="C14" s="14"/>
      <c r="D14" s="14"/>
    </row>
    <row r="15" spans="1:4" ht="13.5" x14ac:dyDescent="0.2">
      <c r="A15" s="6"/>
      <c r="B15" s="6"/>
      <c r="C15" s="14"/>
      <c r="D15" s="14"/>
    </row>
    <row r="16" spans="1:4" ht="13.5" x14ac:dyDescent="0.2">
      <c r="A16" s="6"/>
      <c r="B16" s="6"/>
      <c r="C16" s="14"/>
      <c r="D16" s="14"/>
    </row>
    <row r="17" spans="1:9" ht="13.5" x14ac:dyDescent="0.2">
      <c r="A17" s="6"/>
      <c r="B17" s="6"/>
      <c r="C17" s="14"/>
      <c r="D17" s="14"/>
    </row>
    <row r="18" spans="1:9" ht="13.5" x14ac:dyDescent="0.2">
      <c r="A18" s="6"/>
      <c r="B18" s="6"/>
      <c r="C18" s="14"/>
      <c r="D18" s="14"/>
    </row>
    <row r="19" spans="1:9" ht="13.5" x14ac:dyDescent="0.2">
      <c r="A19" s="6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6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7"/>
      <c r="B21" s="7"/>
      <c r="C21" s="15"/>
      <c r="D21" s="15"/>
      <c r="E21" s="37"/>
      <c r="F21" s="57"/>
      <c r="G21" s="53"/>
      <c r="H21" s="53"/>
      <c r="I21" s="37"/>
    </row>
    <row r="22" spans="1:9" ht="14.25" thickBot="1" x14ac:dyDescent="0.25">
      <c r="A22" s="16" t="s">
        <v>22</v>
      </c>
      <c r="B22" s="16">
        <f>SUM(B3:B21)</f>
        <v>60</v>
      </c>
      <c r="C22" s="105" t="s">
        <v>43</v>
      </c>
      <c r="D22" s="17"/>
      <c r="E22" s="37"/>
      <c r="F22" s="59"/>
      <c r="G22" s="60"/>
      <c r="H22" s="60"/>
      <c r="I22" s="37"/>
    </row>
    <row r="23" spans="1:9" ht="15" thickBot="1" x14ac:dyDescent="0.35">
      <c r="A23" s="18"/>
      <c r="B23" s="18"/>
      <c r="C23" s="18"/>
      <c r="D23" s="18"/>
      <c r="E23" s="37"/>
      <c r="F23" s="59"/>
      <c r="G23" s="60"/>
      <c r="H23" s="60"/>
      <c r="I23" s="37"/>
    </row>
    <row r="24" spans="1:9" ht="18.75" thickBot="1" x14ac:dyDescent="0.25">
      <c r="A24" s="10" t="s">
        <v>14</v>
      </c>
      <c r="B24" s="11">
        <v>2</v>
      </c>
      <c r="C24" s="31"/>
      <c r="D24" s="33"/>
      <c r="E24" s="37"/>
      <c r="F24" s="59"/>
      <c r="G24" s="60"/>
      <c r="H24" s="60"/>
      <c r="I24" s="37"/>
    </row>
    <row r="25" spans="1:9" ht="27.75" thickBot="1" x14ac:dyDescent="0.25">
      <c r="A25" s="12" t="s">
        <v>3</v>
      </c>
      <c r="B25" s="32" t="s">
        <v>15</v>
      </c>
      <c r="C25" s="12" t="s">
        <v>7</v>
      </c>
      <c r="D25" s="12" t="s">
        <v>13</v>
      </c>
      <c r="E25" s="37"/>
      <c r="F25" s="59"/>
      <c r="G25" s="60"/>
      <c r="H25" s="60"/>
      <c r="I25" s="37"/>
    </row>
    <row r="26" spans="1:9" ht="13.5" x14ac:dyDescent="0.2">
      <c r="A26" s="9"/>
      <c r="B26" s="8"/>
      <c r="C26" s="13"/>
      <c r="D26" s="13"/>
      <c r="E26" s="37"/>
      <c r="F26" s="59"/>
      <c r="G26" s="60"/>
      <c r="H26" s="60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61"/>
      <c r="G30" s="62"/>
      <c r="H30" s="62"/>
      <c r="I30" s="37"/>
    </row>
    <row r="31" spans="1:9" ht="14.25" x14ac:dyDescent="0.3">
      <c r="A31" s="5"/>
      <c r="B31" s="6"/>
      <c r="C31" s="14"/>
      <c r="D31" s="14"/>
      <c r="E31" s="37"/>
      <c r="F31" s="63"/>
      <c r="G31" s="63"/>
      <c r="H31" s="63"/>
      <c r="I31" s="37"/>
    </row>
    <row r="32" spans="1:9" ht="13.5" x14ac:dyDescent="0.2">
      <c r="A32" s="6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6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6"/>
      <c r="B34" s="6"/>
      <c r="C34" s="14"/>
      <c r="D34" s="14"/>
      <c r="E34" s="37"/>
      <c r="F34" s="37"/>
      <c r="G34" s="37"/>
      <c r="H34" s="37"/>
      <c r="I34" s="37"/>
    </row>
    <row r="35" spans="1:9" ht="14.25" thickBot="1" x14ac:dyDescent="0.25">
      <c r="A35" s="7"/>
      <c r="B35" s="7"/>
      <c r="C35" s="15"/>
      <c r="D35" s="15"/>
    </row>
    <row r="36" spans="1:9" ht="14.25" thickBot="1" x14ac:dyDescent="0.25">
      <c r="A36" s="16" t="s">
        <v>22</v>
      </c>
      <c r="B36" s="16">
        <f>SUM(B26:B35)</f>
        <v>0</v>
      </c>
      <c r="C36" s="105" t="s">
        <v>43</v>
      </c>
      <c r="D36" s="17"/>
    </row>
    <row r="37" spans="1:9" ht="15" thickBot="1" x14ac:dyDescent="0.35">
      <c r="A37" s="18"/>
      <c r="B37" s="18"/>
      <c r="C37" s="18"/>
      <c r="D37" s="18"/>
    </row>
    <row r="38" spans="1:9" ht="18.75" thickBot="1" x14ac:dyDescent="0.25">
      <c r="A38" s="10" t="s">
        <v>14</v>
      </c>
      <c r="B38" s="11">
        <v>3</v>
      </c>
      <c r="C38" s="31"/>
      <c r="D38" s="33"/>
    </row>
    <row r="39" spans="1:9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6"/>
      <c r="B48" s="6"/>
      <c r="C48" s="14"/>
      <c r="D48" s="14"/>
    </row>
    <row r="49" spans="1:4" ht="14.25" thickBot="1" x14ac:dyDescent="0.25">
      <c r="A49" s="7"/>
      <c r="B49" s="7"/>
      <c r="C49" s="15"/>
      <c r="D49" s="15"/>
    </row>
    <row r="50" spans="1:4" ht="14.25" thickBot="1" x14ac:dyDescent="0.25">
      <c r="A50" s="16" t="s">
        <v>22</v>
      </c>
      <c r="B50" s="16">
        <f>SUM(B40:B49)</f>
        <v>0</v>
      </c>
      <c r="C50" s="105" t="s">
        <v>43</v>
      </c>
      <c r="D50" s="17"/>
    </row>
    <row r="51" spans="1:4" ht="15" thickBot="1" x14ac:dyDescent="0.35">
      <c r="A51" s="18"/>
      <c r="B51" s="18"/>
      <c r="C51" s="18"/>
      <c r="D51" s="18"/>
    </row>
    <row r="52" spans="1:4" ht="18.75" thickBot="1" x14ac:dyDescent="0.25">
      <c r="A52" s="10" t="s">
        <v>14</v>
      </c>
      <c r="B52" s="11">
        <v>4</v>
      </c>
      <c r="C52" s="31"/>
      <c r="D52" s="33"/>
    </row>
    <row r="53" spans="1:4" ht="27.75" thickBot="1" x14ac:dyDescent="0.25">
      <c r="A53" s="12" t="s">
        <v>3</v>
      </c>
      <c r="B53" s="32" t="s">
        <v>15</v>
      </c>
      <c r="C53" s="12" t="s">
        <v>7</v>
      </c>
      <c r="D53" s="12" t="s">
        <v>13</v>
      </c>
    </row>
    <row r="54" spans="1:4" ht="13.5" x14ac:dyDescent="0.2">
      <c r="A54" s="9"/>
      <c r="B54" s="8"/>
      <c r="C54" s="13"/>
      <c r="D54" s="13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16" t="s">
        <v>22</v>
      </c>
      <c r="B64" s="16">
        <f>SUM(B54:B63)</f>
        <v>0</v>
      </c>
      <c r="C64" s="105" t="s">
        <v>43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14</v>
      </c>
      <c r="B66" s="11">
        <v>5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16" t="s">
        <v>22</v>
      </c>
      <c r="B78" s="16">
        <f>SUM(B68:B77)</f>
        <v>0</v>
      </c>
      <c r="C78" s="105" t="s">
        <v>43</v>
      </c>
      <c r="D78" s="17"/>
    </row>
    <row r="79" spans="1:4" ht="14.25" x14ac:dyDescent="0.3">
      <c r="A79" s="18"/>
      <c r="B79" s="18"/>
      <c r="C79" s="18"/>
      <c r="D79" s="18"/>
    </row>
    <row r="80" spans="1:4" x14ac:dyDescent="0.2">
      <c r="A80" s="106" t="s">
        <v>44</v>
      </c>
    </row>
  </sheetData>
  <sheetProtection insertRows="0" selectLockedCells="1"/>
  <dataValidations count="4">
    <dataValidation type="list" allowBlank="1" showInputMessage="1" showErrorMessage="1" sqref="A26:A35 A40:A49 A54:A63 A68:A77 A3:A2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36 B50 B64 B7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26:B35 B40:B49 B54:B63 B68:B77 B3:B2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7"/>
  <sheetViews>
    <sheetView tabSelected="1" view="pageBreakPreview" topLeftCell="A40" zoomScale="115" zoomScaleNormal="100" zoomScaleSheetLayoutView="115" workbookViewId="0">
      <selection activeCell="C55" sqref="C5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37</v>
      </c>
      <c r="B3" s="8">
        <v>2</v>
      </c>
      <c r="C3" s="13" t="s">
        <v>97</v>
      </c>
      <c r="D3" s="13"/>
    </row>
    <row r="4" spans="1:4" s="81" customFormat="1" ht="13.5" x14ac:dyDescent="0.2">
      <c r="A4" s="5" t="s">
        <v>32</v>
      </c>
      <c r="B4" s="6">
        <v>10</v>
      </c>
      <c r="C4" s="14" t="s">
        <v>60</v>
      </c>
      <c r="D4" s="14"/>
    </row>
    <row r="5" spans="1:4" s="81" customFormat="1" ht="13.5" x14ac:dyDescent="0.2">
      <c r="A5" s="5" t="s">
        <v>70</v>
      </c>
      <c r="B5" s="6">
        <v>2</v>
      </c>
      <c r="C5" s="14" t="s">
        <v>69</v>
      </c>
      <c r="D5" s="14"/>
    </row>
    <row r="6" spans="1:4" s="81" customFormat="1" ht="13.5" x14ac:dyDescent="0.2">
      <c r="A6" s="5" t="s">
        <v>32</v>
      </c>
      <c r="B6" s="6">
        <v>2</v>
      </c>
      <c r="C6" s="14" t="s">
        <v>61</v>
      </c>
      <c r="D6" s="14"/>
    </row>
    <row r="7" spans="1:4" s="81" customFormat="1" ht="13.5" x14ac:dyDescent="0.2">
      <c r="A7" s="5" t="s">
        <v>37</v>
      </c>
      <c r="B7" s="6">
        <v>2</v>
      </c>
      <c r="C7" s="14" t="s">
        <v>62</v>
      </c>
      <c r="D7" s="14"/>
    </row>
    <row r="8" spans="1:4" s="81" customFormat="1" ht="27" x14ac:dyDescent="0.2">
      <c r="A8" s="5" t="s">
        <v>37</v>
      </c>
      <c r="B8" s="6">
        <v>1</v>
      </c>
      <c r="C8" s="14" t="s">
        <v>63</v>
      </c>
      <c r="D8" s="14" t="s">
        <v>76</v>
      </c>
    </row>
    <row r="9" spans="1:4" s="81" customFormat="1" ht="27" x14ac:dyDescent="0.2">
      <c r="A9" s="5" t="s">
        <v>37</v>
      </c>
      <c r="B9" s="6">
        <v>1</v>
      </c>
      <c r="C9" s="14" t="s">
        <v>64</v>
      </c>
      <c r="D9" s="14" t="s">
        <v>80</v>
      </c>
    </row>
    <row r="10" spans="1:4" s="81" customFormat="1" ht="25.5" x14ac:dyDescent="0.2">
      <c r="A10" s="5" t="s">
        <v>35</v>
      </c>
      <c r="B10" s="6">
        <v>3</v>
      </c>
      <c r="C10" s="14" t="s">
        <v>65</v>
      </c>
      <c r="D10" s="108" t="s">
        <v>66</v>
      </c>
    </row>
    <row r="11" spans="1:4" s="81" customFormat="1" ht="13.5" x14ac:dyDescent="0.2">
      <c r="A11" s="5" t="s">
        <v>33</v>
      </c>
      <c r="B11" s="6">
        <v>1</v>
      </c>
      <c r="C11" s="14" t="s">
        <v>67</v>
      </c>
      <c r="D11" s="14"/>
    </row>
    <row r="12" spans="1:4" s="81" customFormat="1" ht="13.5" x14ac:dyDescent="0.2">
      <c r="A12" s="5" t="s">
        <v>70</v>
      </c>
      <c r="B12" s="6">
        <v>0</v>
      </c>
      <c r="C12" s="14" t="s">
        <v>96</v>
      </c>
      <c r="D12" s="14"/>
    </row>
    <row r="13" spans="1:4" s="81" customFormat="1" ht="40.5" x14ac:dyDescent="0.2">
      <c r="A13" s="6" t="s">
        <v>28</v>
      </c>
      <c r="B13" s="6">
        <v>3</v>
      </c>
      <c r="C13" s="14" t="s">
        <v>71</v>
      </c>
      <c r="D13" s="14" t="s">
        <v>78</v>
      </c>
    </row>
    <row r="14" spans="1:4" s="81" customFormat="1" ht="40.5" x14ac:dyDescent="0.2">
      <c r="A14" s="6" t="s">
        <v>28</v>
      </c>
      <c r="B14" s="6">
        <v>2</v>
      </c>
      <c r="C14" s="14" t="s">
        <v>72</v>
      </c>
      <c r="D14" s="14" t="s">
        <v>79</v>
      </c>
    </row>
    <row r="15" spans="1:4" s="81" customFormat="1" ht="27" x14ac:dyDescent="0.2">
      <c r="A15" s="6" t="s">
        <v>28</v>
      </c>
      <c r="B15" s="6">
        <v>2</v>
      </c>
      <c r="C15" s="14" t="s">
        <v>73</v>
      </c>
      <c r="D15" s="14" t="s">
        <v>79</v>
      </c>
    </row>
    <row r="16" spans="1:4" s="81" customFormat="1" ht="13.5" x14ac:dyDescent="0.2">
      <c r="A16" s="79" t="s">
        <v>35</v>
      </c>
      <c r="B16" s="79">
        <v>1</v>
      </c>
      <c r="C16" s="80" t="s">
        <v>74</v>
      </c>
      <c r="D16" s="80" t="s">
        <v>79</v>
      </c>
    </row>
    <row r="17" spans="1:9" s="81" customFormat="1" ht="40.5" x14ac:dyDescent="0.2">
      <c r="A17" s="79" t="s">
        <v>34</v>
      </c>
      <c r="B17" s="79">
        <v>3</v>
      </c>
      <c r="C17" s="80" t="s">
        <v>81</v>
      </c>
      <c r="D17" s="80" t="s">
        <v>77</v>
      </c>
    </row>
    <row r="18" spans="1:9" ht="40.5" x14ac:dyDescent="0.2">
      <c r="A18" s="79" t="s">
        <v>33</v>
      </c>
      <c r="B18" s="79">
        <v>1</v>
      </c>
      <c r="C18" s="80" t="s">
        <v>75</v>
      </c>
      <c r="D18" s="80" t="s">
        <v>104</v>
      </c>
    </row>
    <row r="19" spans="1:9" ht="13.5" x14ac:dyDescent="0.2">
      <c r="A19" s="79" t="s">
        <v>34</v>
      </c>
      <c r="B19" s="79">
        <v>4</v>
      </c>
      <c r="C19" s="80" t="s">
        <v>95</v>
      </c>
      <c r="D19" s="80"/>
    </row>
    <row r="20" spans="1:9" ht="13.5" x14ac:dyDescent="0.2">
      <c r="A20" s="79" t="s">
        <v>34</v>
      </c>
      <c r="B20" s="79">
        <v>1</v>
      </c>
      <c r="C20" s="80" t="s">
        <v>82</v>
      </c>
      <c r="D20" s="80"/>
    </row>
    <row r="21" spans="1:9" ht="13.5" x14ac:dyDescent="0.2">
      <c r="A21" s="79" t="s">
        <v>34</v>
      </c>
      <c r="B21" s="79">
        <v>3</v>
      </c>
      <c r="C21" s="80" t="s">
        <v>83</v>
      </c>
      <c r="D21" s="80"/>
    </row>
    <row r="22" spans="1:9" ht="27" x14ac:dyDescent="0.2">
      <c r="A22" s="79" t="s">
        <v>29</v>
      </c>
      <c r="B22" s="79">
        <v>13</v>
      </c>
      <c r="C22" s="80" t="s">
        <v>90</v>
      </c>
      <c r="D22" s="80"/>
    </row>
    <row r="23" spans="1:9" ht="13.5" x14ac:dyDescent="0.2">
      <c r="A23" s="79" t="s">
        <v>29</v>
      </c>
      <c r="B23" s="79">
        <v>5</v>
      </c>
      <c r="C23" s="80" t="s">
        <v>92</v>
      </c>
      <c r="D23" s="80"/>
    </row>
    <row r="24" spans="1:9" ht="40.5" x14ac:dyDescent="0.2">
      <c r="A24" s="79" t="s">
        <v>33</v>
      </c>
      <c r="B24" s="79">
        <v>1</v>
      </c>
      <c r="C24" s="80" t="s">
        <v>75</v>
      </c>
      <c r="D24" s="80" t="s">
        <v>104</v>
      </c>
      <c r="E24" s="37"/>
      <c r="F24" s="37"/>
      <c r="G24" s="37"/>
      <c r="H24" s="37"/>
      <c r="I24" s="37"/>
    </row>
    <row r="25" spans="1:9" ht="12.75" customHeight="1" x14ac:dyDescent="0.2">
      <c r="A25" s="79" t="s">
        <v>70</v>
      </c>
      <c r="B25" s="79">
        <v>0</v>
      </c>
      <c r="C25" s="80" t="s">
        <v>93</v>
      </c>
      <c r="D25" s="80"/>
      <c r="E25" s="37"/>
      <c r="F25" s="54"/>
      <c r="G25" s="55"/>
      <c r="H25" s="56"/>
      <c r="I25" s="37"/>
    </row>
    <row r="26" spans="1:9" ht="27" x14ac:dyDescent="0.2">
      <c r="A26" s="79" t="s">
        <v>37</v>
      </c>
      <c r="B26" s="79">
        <v>1</v>
      </c>
      <c r="C26" s="80" t="s">
        <v>94</v>
      </c>
      <c r="D26" s="80"/>
      <c r="E26" s="37"/>
      <c r="F26" s="57"/>
      <c r="G26" s="53"/>
      <c r="H26" s="53"/>
      <c r="I26" s="37"/>
    </row>
    <row r="27" spans="1:9" ht="13.5" x14ac:dyDescent="0.2">
      <c r="A27" s="79" t="s">
        <v>34</v>
      </c>
      <c r="B27" s="79">
        <v>1</v>
      </c>
      <c r="C27" s="80" t="s">
        <v>84</v>
      </c>
      <c r="D27" s="80"/>
      <c r="E27" s="37"/>
      <c r="F27" s="59"/>
      <c r="G27" s="60"/>
      <c r="H27" s="60"/>
      <c r="I27" s="37"/>
    </row>
    <row r="28" spans="1:9" ht="27" x14ac:dyDescent="0.2">
      <c r="A28" s="79" t="s">
        <v>28</v>
      </c>
      <c r="B28" s="79">
        <v>2</v>
      </c>
      <c r="C28" s="80" t="s">
        <v>85</v>
      </c>
      <c r="D28" s="80"/>
      <c r="E28" s="37"/>
      <c r="F28" s="59"/>
      <c r="G28" s="60"/>
      <c r="H28" s="60"/>
      <c r="I28" s="37"/>
    </row>
    <row r="29" spans="1:9" ht="13.5" x14ac:dyDescent="0.2">
      <c r="A29" s="79" t="s">
        <v>35</v>
      </c>
      <c r="B29" s="79">
        <v>10</v>
      </c>
      <c r="C29" s="80" t="s">
        <v>86</v>
      </c>
      <c r="D29" s="80"/>
      <c r="E29" s="37"/>
      <c r="F29" s="59"/>
      <c r="G29" s="60"/>
      <c r="H29" s="60"/>
      <c r="I29" s="37"/>
    </row>
    <row r="30" spans="1:9" ht="40.5" x14ac:dyDescent="0.2">
      <c r="A30" s="79" t="s">
        <v>33</v>
      </c>
      <c r="B30" s="79">
        <v>1</v>
      </c>
      <c r="C30" s="80" t="s">
        <v>87</v>
      </c>
      <c r="D30" s="80" t="s">
        <v>104</v>
      </c>
      <c r="E30" s="37"/>
      <c r="F30" s="59"/>
      <c r="G30" s="60"/>
      <c r="H30" s="60"/>
      <c r="I30" s="37"/>
    </row>
    <row r="31" spans="1:9" ht="13.5" x14ac:dyDescent="0.2">
      <c r="A31" s="79" t="s">
        <v>35</v>
      </c>
      <c r="B31" s="79">
        <v>1</v>
      </c>
      <c r="C31" s="80" t="s">
        <v>88</v>
      </c>
      <c r="D31" s="80"/>
      <c r="E31" s="37"/>
      <c r="F31" s="59"/>
      <c r="G31" s="60"/>
      <c r="H31" s="60"/>
      <c r="I31" s="37"/>
    </row>
    <row r="32" spans="1:9" ht="13.5" x14ac:dyDescent="0.2">
      <c r="A32" s="79" t="s">
        <v>35</v>
      </c>
      <c r="B32" s="79">
        <v>3</v>
      </c>
      <c r="C32" s="80" t="s">
        <v>89</v>
      </c>
      <c r="D32" s="80"/>
      <c r="E32" s="37"/>
      <c r="F32" s="59"/>
      <c r="G32" s="60"/>
      <c r="H32" s="60"/>
      <c r="I32" s="37"/>
    </row>
    <row r="33" spans="1:9" ht="13.5" x14ac:dyDescent="0.2">
      <c r="A33" s="79" t="s">
        <v>35</v>
      </c>
      <c r="B33" s="79">
        <v>4</v>
      </c>
      <c r="C33" s="80" t="s">
        <v>98</v>
      </c>
      <c r="D33" s="80"/>
      <c r="E33" s="37"/>
      <c r="F33" s="59"/>
      <c r="G33" s="60"/>
      <c r="H33" s="60"/>
      <c r="I33" s="37"/>
    </row>
    <row r="34" spans="1:9" ht="13.5" x14ac:dyDescent="0.2">
      <c r="A34" s="79" t="s">
        <v>35</v>
      </c>
      <c r="B34" s="79">
        <v>1</v>
      </c>
      <c r="C34" s="80" t="s">
        <v>99</v>
      </c>
      <c r="D34" s="80"/>
      <c r="E34" s="37"/>
      <c r="F34" s="59"/>
      <c r="G34" s="60"/>
      <c r="H34" s="60"/>
      <c r="I34" s="37"/>
    </row>
    <row r="35" spans="1:9" ht="27" x14ac:dyDescent="0.2">
      <c r="A35" s="79" t="s">
        <v>29</v>
      </c>
      <c r="B35" s="79">
        <v>2</v>
      </c>
      <c r="C35" s="80" t="s">
        <v>100</v>
      </c>
      <c r="D35" s="80"/>
      <c r="E35" s="37"/>
      <c r="F35" s="61"/>
      <c r="G35" s="62"/>
      <c r="H35" s="62"/>
      <c r="I35" s="37"/>
    </row>
    <row r="36" spans="1:9" ht="40.5" x14ac:dyDescent="0.3">
      <c r="A36" s="79" t="s">
        <v>33</v>
      </c>
      <c r="B36" s="79">
        <v>1</v>
      </c>
      <c r="C36" s="80" t="s">
        <v>75</v>
      </c>
      <c r="D36" s="80" t="s">
        <v>104</v>
      </c>
      <c r="E36" s="37"/>
      <c r="F36" s="63"/>
      <c r="G36" s="63"/>
      <c r="H36" s="63"/>
      <c r="I36" s="37"/>
    </row>
    <row r="37" spans="1:9" ht="14.25" thickBot="1" x14ac:dyDescent="0.25">
      <c r="A37" s="7"/>
      <c r="B37" s="7"/>
      <c r="C37" s="15"/>
      <c r="D37" s="15"/>
      <c r="E37" s="37"/>
      <c r="F37" s="37"/>
      <c r="G37" s="37"/>
      <c r="H37" s="37"/>
      <c r="I37" s="37"/>
    </row>
    <row r="38" spans="1:9" ht="14.25" thickBot="1" x14ac:dyDescent="0.25">
      <c r="A38" s="76" t="s">
        <v>22</v>
      </c>
      <c r="B38" s="76">
        <f>SUM(B3:B37)</f>
        <v>90</v>
      </c>
      <c r="C38" s="107" t="s">
        <v>43</v>
      </c>
      <c r="D38" s="77"/>
      <c r="E38" s="37"/>
      <c r="F38" s="37"/>
      <c r="G38" s="37"/>
      <c r="H38" s="37"/>
      <c r="I38" s="37"/>
    </row>
    <row r="39" spans="1:9" ht="15" thickBot="1" x14ac:dyDescent="0.35">
      <c r="A39" s="78"/>
      <c r="B39" s="78"/>
      <c r="C39" s="78"/>
      <c r="D39" s="78"/>
      <c r="E39" s="37"/>
      <c r="F39" s="37"/>
      <c r="G39" s="37"/>
      <c r="H39" s="37"/>
      <c r="I39" s="37"/>
    </row>
    <row r="40" spans="1:9" ht="18.75" thickBot="1" x14ac:dyDescent="0.25">
      <c r="A40" s="71" t="s">
        <v>14</v>
      </c>
      <c r="B40" s="72">
        <v>2</v>
      </c>
      <c r="C40" s="73" t="s">
        <v>23</v>
      </c>
      <c r="D40" s="82">
        <v>42891</v>
      </c>
    </row>
    <row r="41" spans="1:9" ht="27.75" thickBot="1" x14ac:dyDescent="0.25">
      <c r="A41" s="74" t="s">
        <v>3</v>
      </c>
      <c r="B41" s="75" t="s">
        <v>15</v>
      </c>
      <c r="C41" s="74" t="s">
        <v>7</v>
      </c>
      <c r="D41" s="74" t="s">
        <v>13</v>
      </c>
    </row>
    <row r="42" spans="1:9" ht="13.5" x14ac:dyDescent="0.2">
      <c r="A42" s="9" t="s">
        <v>21</v>
      </c>
      <c r="B42" s="8">
        <v>24</v>
      </c>
      <c r="C42" s="13" t="s">
        <v>91</v>
      </c>
      <c r="D42" s="13"/>
    </row>
    <row r="43" spans="1:9" ht="13.5" x14ac:dyDescent="0.2">
      <c r="A43" s="5" t="s">
        <v>70</v>
      </c>
      <c r="B43" s="6">
        <v>0</v>
      </c>
      <c r="C43" s="14" t="s">
        <v>68</v>
      </c>
      <c r="D43" s="14"/>
    </row>
    <row r="44" spans="1:9" ht="27" x14ac:dyDescent="0.2">
      <c r="A44" s="5" t="s">
        <v>29</v>
      </c>
      <c r="B44" s="6">
        <v>4</v>
      </c>
      <c r="C44" s="14" t="s">
        <v>101</v>
      </c>
      <c r="D44" s="14"/>
    </row>
    <row r="45" spans="1:9" ht="27" x14ac:dyDescent="0.2">
      <c r="A45" s="5" t="s">
        <v>28</v>
      </c>
      <c r="B45" s="6">
        <v>4</v>
      </c>
      <c r="C45" s="14" t="s">
        <v>102</v>
      </c>
      <c r="D45" s="14"/>
    </row>
    <row r="46" spans="1:9" ht="40.5" x14ac:dyDescent="0.2">
      <c r="A46" s="5" t="s">
        <v>29</v>
      </c>
      <c r="B46" s="6">
        <v>3</v>
      </c>
      <c r="C46" s="14" t="s">
        <v>103</v>
      </c>
      <c r="D46" s="14"/>
    </row>
    <row r="47" spans="1:9" ht="40.5" x14ac:dyDescent="0.2">
      <c r="A47" s="5" t="s">
        <v>33</v>
      </c>
      <c r="B47" s="6">
        <v>1</v>
      </c>
      <c r="C47" s="14" t="s">
        <v>75</v>
      </c>
      <c r="D47" s="14" t="s">
        <v>104</v>
      </c>
    </row>
    <row r="48" spans="1:9" ht="13.5" x14ac:dyDescent="0.2">
      <c r="A48" s="5" t="s">
        <v>35</v>
      </c>
      <c r="B48" s="6">
        <v>2</v>
      </c>
      <c r="C48" s="14" t="s">
        <v>105</v>
      </c>
      <c r="D48" s="14"/>
    </row>
    <row r="49" spans="1:4" ht="40.5" x14ac:dyDescent="0.2">
      <c r="A49" s="5" t="s">
        <v>28</v>
      </c>
      <c r="B49" s="6">
        <v>4</v>
      </c>
      <c r="C49" s="14" t="s">
        <v>106</v>
      </c>
      <c r="D49" s="14"/>
    </row>
    <row r="50" spans="1:4" ht="40.5" x14ac:dyDescent="0.2">
      <c r="A50" s="5" t="s">
        <v>35</v>
      </c>
      <c r="B50" s="6">
        <v>6</v>
      </c>
      <c r="C50" s="14" t="s">
        <v>107</v>
      </c>
      <c r="D50" s="14"/>
    </row>
    <row r="51" spans="1:4" ht="13.5" x14ac:dyDescent="0.2">
      <c r="A51" s="6" t="s">
        <v>35</v>
      </c>
      <c r="B51" s="6">
        <v>5</v>
      </c>
      <c r="C51" s="14" t="s">
        <v>108</v>
      </c>
      <c r="D51" s="14"/>
    </row>
    <row r="52" spans="1:4" ht="13.5" x14ac:dyDescent="0.2">
      <c r="A52" s="6" t="s">
        <v>28</v>
      </c>
      <c r="B52" s="6">
        <v>3</v>
      </c>
      <c r="C52" s="14" t="s">
        <v>113</v>
      </c>
      <c r="D52" s="14"/>
    </row>
    <row r="53" spans="1:4" ht="13.5" x14ac:dyDescent="0.2">
      <c r="A53" s="6" t="s">
        <v>28</v>
      </c>
      <c r="B53" s="6">
        <v>3</v>
      </c>
      <c r="C53" s="14" t="s">
        <v>112</v>
      </c>
      <c r="D53" s="14"/>
    </row>
    <row r="54" spans="1:4" ht="13.5" x14ac:dyDescent="0.2">
      <c r="A54" s="6" t="s">
        <v>33</v>
      </c>
      <c r="B54" s="6">
        <v>2</v>
      </c>
      <c r="C54" s="14" t="s">
        <v>75</v>
      </c>
      <c r="D54" s="14"/>
    </row>
    <row r="55" spans="1:4" ht="13.5" x14ac:dyDescent="0.2">
      <c r="A55" s="6" t="s">
        <v>21</v>
      </c>
      <c r="B55" s="6">
        <v>2</v>
      </c>
      <c r="C55" s="14" t="s">
        <v>109</v>
      </c>
      <c r="D55" s="14"/>
    </row>
    <row r="56" spans="1:4" ht="13.5" x14ac:dyDescent="0.2">
      <c r="A56" s="6" t="s">
        <v>70</v>
      </c>
      <c r="B56" s="6">
        <v>0</v>
      </c>
      <c r="C56" s="14" t="s">
        <v>110</v>
      </c>
      <c r="D56" s="14"/>
    </row>
    <row r="57" spans="1:4" ht="13.5" x14ac:dyDescent="0.2">
      <c r="A57" s="6"/>
      <c r="B57" s="6"/>
      <c r="C57" s="14" t="s">
        <v>111</v>
      </c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6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3.5" x14ac:dyDescent="0.2">
      <c r="A63" s="6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79"/>
      <c r="B69" s="79"/>
      <c r="C69" s="80"/>
      <c r="D69" s="80"/>
    </row>
    <row r="70" spans="1:4" ht="13.5" x14ac:dyDescent="0.2">
      <c r="A70" s="79"/>
      <c r="B70" s="79"/>
      <c r="C70" s="80"/>
      <c r="D70" s="80"/>
    </row>
    <row r="71" spans="1:4" ht="14.25" thickBot="1" x14ac:dyDescent="0.25">
      <c r="A71" s="7"/>
      <c r="B71" s="7"/>
      <c r="C71" s="15"/>
      <c r="D71" s="15"/>
    </row>
    <row r="72" spans="1:4" ht="14.25" thickBot="1" x14ac:dyDescent="0.25">
      <c r="A72" s="76" t="s">
        <v>22</v>
      </c>
      <c r="B72" s="76">
        <f>SUM(B42:B71)</f>
        <v>63</v>
      </c>
      <c r="C72" s="107" t="s">
        <v>43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14</v>
      </c>
      <c r="B74" s="72">
        <v>3</v>
      </c>
      <c r="C74" s="73" t="s">
        <v>23</v>
      </c>
      <c r="D74" s="82">
        <v>42898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/>
      <c r="B76" s="8"/>
      <c r="C76" s="13"/>
      <c r="D76" s="13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6"/>
      <c r="B86" s="6"/>
      <c r="C86" s="14"/>
      <c r="D86" s="14"/>
    </row>
    <row r="87" spans="1:4" ht="13.5" x14ac:dyDescent="0.2">
      <c r="A87" s="6"/>
      <c r="B87" s="6"/>
      <c r="C87" s="14"/>
      <c r="D87" s="14"/>
    </row>
    <row r="88" spans="1:4" ht="13.5" x14ac:dyDescent="0.2">
      <c r="A88" s="79"/>
      <c r="B88" s="79"/>
      <c r="C88" s="80"/>
      <c r="D88" s="80"/>
    </row>
    <row r="89" spans="1:4" ht="13.5" x14ac:dyDescent="0.2">
      <c r="A89" s="79"/>
      <c r="B89" s="79"/>
      <c r="C89" s="80"/>
      <c r="D89" s="80"/>
    </row>
    <row r="90" spans="1:4" ht="14.25" thickBot="1" x14ac:dyDescent="0.25">
      <c r="A90" s="7"/>
      <c r="B90" s="7"/>
      <c r="C90" s="15"/>
      <c r="D90" s="15"/>
    </row>
    <row r="91" spans="1:4" ht="14.25" thickBot="1" x14ac:dyDescent="0.25">
      <c r="A91" s="76" t="s">
        <v>22</v>
      </c>
      <c r="B91" s="76">
        <f>SUM(B76:B90)</f>
        <v>0</v>
      </c>
      <c r="C91" s="107" t="s">
        <v>43</v>
      </c>
      <c r="D91" s="77"/>
    </row>
    <row r="92" spans="1:4" ht="15" thickBot="1" x14ac:dyDescent="0.35">
      <c r="A92" s="78"/>
      <c r="B92" s="78"/>
      <c r="C92" s="78"/>
      <c r="D92" s="78"/>
    </row>
    <row r="93" spans="1:4" ht="18.75" thickBot="1" x14ac:dyDescent="0.25">
      <c r="A93" s="71" t="s">
        <v>14</v>
      </c>
      <c r="B93" s="72">
        <v>4</v>
      </c>
      <c r="C93" s="73" t="s">
        <v>23</v>
      </c>
      <c r="D93" s="82">
        <v>42905</v>
      </c>
    </row>
    <row r="94" spans="1:4" ht="27.75" thickBot="1" x14ac:dyDescent="0.25">
      <c r="A94" s="74" t="s">
        <v>3</v>
      </c>
      <c r="B94" s="75" t="s">
        <v>15</v>
      </c>
      <c r="C94" s="74" t="s">
        <v>7</v>
      </c>
      <c r="D94" s="74" t="s">
        <v>13</v>
      </c>
    </row>
    <row r="95" spans="1:4" ht="14.25" thickBot="1" x14ac:dyDescent="0.25">
      <c r="A95" s="9" t="s">
        <v>21</v>
      </c>
      <c r="B95" s="8">
        <v>90</v>
      </c>
      <c r="C95" s="13" t="s">
        <v>45</v>
      </c>
      <c r="D95" s="13"/>
    </row>
    <row r="96" spans="1:4" ht="14.25" thickBot="1" x14ac:dyDescent="0.25">
      <c r="A96" s="76" t="s">
        <v>22</v>
      </c>
      <c r="B96" s="76">
        <f>SUM(B95:B95)</f>
        <v>90</v>
      </c>
      <c r="C96" s="107" t="s">
        <v>43</v>
      </c>
      <c r="D96" s="77"/>
    </row>
    <row r="97" spans="1:4" ht="15" thickBot="1" x14ac:dyDescent="0.35">
      <c r="A97" s="78"/>
      <c r="B97" s="78"/>
      <c r="C97" s="78"/>
      <c r="D97" s="78"/>
    </row>
    <row r="98" spans="1:4" ht="18.75" thickBot="1" x14ac:dyDescent="0.25">
      <c r="A98" s="71" t="s">
        <v>14</v>
      </c>
      <c r="B98" s="72">
        <v>5</v>
      </c>
      <c r="C98" s="73" t="s">
        <v>23</v>
      </c>
      <c r="D98" s="82">
        <v>42912</v>
      </c>
    </row>
    <row r="99" spans="1:4" ht="27.75" thickBot="1" x14ac:dyDescent="0.25">
      <c r="A99" s="74" t="s">
        <v>3</v>
      </c>
      <c r="B99" s="75" t="s">
        <v>15</v>
      </c>
      <c r="C99" s="74" t="s">
        <v>7</v>
      </c>
      <c r="D99" s="74" t="s">
        <v>13</v>
      </c>
    </row>
    <row r="100" spans="1:4" ht="13.5" x14ac:dyDescent="0.2">
      <c r="A100" s="9"/>
      <c r="B100" s="8"/>
      <c r="C100" s="13"/>
      <c r="D100" s="13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79"/>
      <c r="B112" s="79"/>
      <c r="C112" s="80"/>
      <c r="D112" s="80"/>
    </row>
    <row r="113" spans="1:4" ht="13.5" x14ac:dyDescent="0.2">
      <c r="A113" s="79"/>
      <c r="B113" s="79"/>
      <c r="C113" s="80"/>
      <c r="D113" s="80"/>
    </row>
    <row r="114" spans="1:4" ht="14.25" thickBot="1" x14ac:dyDescent="0.25">
      <c r="A114" s="7"/>
      <c r="B114" s="7"/>
      <c r="C114" s="15"/>
      <c r="D114" s="15"/>
    </row>
    <row r="115" spans="1:4" ht="14.25" thickBot="1" x14ac:dyDescent="0.25">
      <c r="A115" s="76" t="s">
        <v>22</v>
      </c>
      <c r="B115" s="76">
        <f>SUM(B100:B114)</f>
        <v>0</v>
      </c>
      <c r="C115" s="107" t="s">
        <v>43</v>
      </c>
      <c r="D115" s="77"/>
    </row>
    <row r="116" spans="1:4" ht="14.25" x14ac:dyDescent="0.3">
      <c r="A116" s="78"/>
      <c r="B116" s="78"/>
      <c r="C116" s="78"/>
      <c r="D116" s="78"/>
    </row>
    <row r="117" spans="1:4" x14ac:dyDescent="0.2">
      <c r="A117" s="106" t="s">
        <v>44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76:B90 B95 B100:B114 B3:B37 B42:B7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8 B72 B91 B96 B115">
      <formula1>0</formula1>
      <formula2>NbPerWeek * NbQuartPer</formula2>
    </dataValidation>
    <dataValidation type="list" allowBlank="1" showInputMessage="1" showErrorMessage="1" sqref="A76:A90 A95 A100:A114 A3:A37 A42:A71">
      <formula1>lstTasks</formula1>
    </dataValidation>
  </dataValidations>
  <hyperlinks>
    <hyperlink ref="D10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2017-06-07T13:41:18Z</dcterms:modified>
  <cp:contentStatus>Version 8.0</cp:contentStatus>
</cp:coreProperties>
</file>